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Cleaned" sheetId="1" state="visible" r:id="rId1"/>
    <sheet xmlns:r="http://schemas.openxmlformats.org/officeDocument/2006/relationships" name="Dashboard_Vi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+0.0%;-0.0%"/>
    <numFmt numFmtId="166" formatCode="0.0%"/>
    <numFmt numFmtId="167" formatCode="$#,##0.00"/>
    <numFmt numFmtId="168" formatCode=".00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91414"/>
      <sz val="15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DB954"/>
      <sz val="14"/>
    </font>
    <font>
      <name val="Segoe UI"/>
      <b val="1"/>
      <color rgb="00C00000"/>
      <sz val="14"/>
    </font>
    <font>
      <name val="Segoe UI"/>
      <b val="1"/>
      <color rgb="00ED7D31"/>
      <sz val="14"/>
    </font>
  </fonts>
  <fills count="3">
    <fill>
      <patternFill/>
    </fill>
    <fill>
      <patternFill patternType="gray125"/>
    </fill>
    <fill>
      <patternFill patternType="solid">
        <fgColor rgb="001DB954"/>
        <bgColor rgb="001DB9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Nghịch Lý: Số User Tăng Nhưng Doanh Thu Quảng Cáo Giảm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'Dashboard_Visual'!C19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'Dashboard_Visual'!$B$20:$B$21</f>
            </numRef>
          </cat>
          <val>
            <numRef>
              <f>'Dashboard_Visual'!$C$20:$C$21</f>
            </numRef>
          </val>
        </ser>
        <ser>
          <idx val="1"/>
          <order val="1"/>
          <tx>
            <strRef>
              <f>'Dashboard_Visual'!D19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'Dashboard_Visual'!$B$20:$B$21</f>
            </numRef>
          </cat>
          <val>
            <numRef>
              <f>'Dashboard_Visual'!$D$20:$D$21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Giá trị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Biến Động: Giờ Nghe TB Giảm &amp; Tỷ Lệ Skip Tăng Vọt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'Dashboard_Visual'!H19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'Dashboard_Visual'!$G$20:$G$21</f>
            </numRef>
          </cat>
          <val>
            <numRef>
              <f>'Dashboard_Visual'!$H$20:$H$21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Giờ Nghe TB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5" customWidth="1" min="3" max="3"/>
    <col width="28" customWidth="1" min="4" max="4"/>
    <col width="29" customWidth="1" min="5" max="5"/>
    <col width="20" customWidth="1" min="6" max="6"/>
    <col width="25" customWidth="1" min="7" max="7"/>
    <col width="29" customWidth="1" min="8" max="8"/>
    <col width="29" customWidth="1" min="9" max="9"/>
  </cols>
  <sheetData>
    <row r="1">
      <c r="A1" s="1" t="inlineStr">
        <is>
          <t>Tháng</t>
        </is>
      </c>
      <c r="B1" s="1" t="inlineStr">
        <is>
          <t>Số User Free (Triệu)</t>
        </is>
      </c>
      <c r="C1" s="1" t="inlineStr">
        <is>
          <t>Giờ Nghe TB/User (Giờ)</t>
        </is>
      </c>
      <c r="D1" s="1" t="inlineStr">
        <is>
          <t>Tổng Giờ Nghe (Triệu Giờ)</t>
        </is>
      </c>
      <c r="E1" s="1" t="inlineStr">
        <is>
          <t>Lượt Bỏ Qua QC (Skip Rate)</t>
        </is>
      </c>
      <c r="F1" s="1" t="inlineStr">
        <is>
          <t>Tỷ Lệ Nghe Hết QC</t>
        </is>
      </c>
      <c r="G1" s="1" t="inlineStr">
        <is>
          <t>Doanh Thu QC (Triệu $)</t>
        </is>
      </c>
      <c r="H1" s="1" t="inlineStr">
        <is>
          <t>Doanh Thu / Giờ Nghe ($)</t>
        </is>
      </c>
      <c r="I1" s="1" t="inlineStr">
        <is>
          <t>ARPU QC / User ($)</t>
        </is>
      </c>
    </row>
    <row r="2">
      <c r="A2" s="2" t="inlineStr">
        <is>
          <t>T9</t>
        </is>
      </c>
      <c r="B2" s="3" t="n">
        <v>10</v>
      </c>
      <c r="C2" s="3" t="n">
        <v>45</v>
      </c>
      <c r="D2" s="3">
        <f>B2*C2</f>
        <v/>
      </c>
      <c r="E2" s="4" t="n">
        <v>0.8</v>
      </c>
      <c r="F2" s="4">
        <f>1-E2</f>
        <v/>
      </c>
      <c r="G2" s="5" t="n">
        <v>5</v>
      </c>
      <c r="H2" s="6">
        <f>(G2*1000000)/(D2*1000000)</f>
        <v/>
      </c>
      <c r="I2" s="6">
        <f>(G2*1000000)/(B2*1000000)</f>
        <v/>
      </c>
    </row>
    <row r="3">
      <c r="A3" s="2" t="inlineStr">
        <is>
          <t>T10</t>
        </is>
      </c>
      <c r="B3" s="3" t="n">
        <v>11</v>
      </c>
      <c r="C3" s="3" t="n">
        <v>30</v>
      </c>
      <c r="D3" s="3">
        <f>B3*C3</f>
        <v/>
      </c>
      <c r="E3" s="4" t="n">
        <v>0.95</v>
      </c>
      <c r="F3" s="4">
        <f>1-E3</f>
        <v/>
      </c>
      <c r="G3" s="5" t="n">
        <v>3</v>
      </c>
      <c r="H3" s="6">
        <f>(G3*1000000)/(D3*1000000)</f>
        <v/>
      </c>
      <c r="I3" s="6">
        <f>(G3*1000000)/(B3*1000000)</f>
        <v/>
      </c>
    </row>
    <row r="4">
      <c r="A4" s="7" t="inlineStr">
        <is>
          <t>Tăng/Giảm (%)</t>
        </is>
      </c>
      <c r="B4" s="8">
        <f>(B3-B2)/B2</f>
        <v/>
      </c>
      <c r="C4" s="8">
        <f>(C3-C2)/C2</f>
        <v/>
      </c>
      <c r="D4" s="8">
        <f>(D3-D2)/D2</f>
        <v/>
      </c>
      <c r="E4" s="8">
        <f>(E3-E2)/E2</f>
        <v/>
      </c>
      <c r="F4" s="8">
        <f>(F3-F2)/F2</f>
        <v/>
      </c>
      <c r="G4" s="8">
        <f>(G3-G2)/G2</f>
        <v/>
      </c>
      <c r="H4" s="8">
        <f>(H3-H2)/H2</f>
        <v/>
      </c>
      <c r="I4" s="8">
        <f>(I3-I2)/I2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0" customWidth="1" min="3" max="3"/>
    <col width="25" customWidth="1" min="4" max="4"/>
    <col width="16" customWidth="1" min="5" max="5"/>
    <col width="40" customWidth="1" min="6" max="6"/>
    <col width="13" customWidth="1" min="7" max="7"/>
    <col width="19" customWidth="1" min="8" max="8"/>
    <col width="22" customWidth="1" min="9" max="9"/>
  </cols>
  <sheetData>
    <row r="1"/>
    <row r="2">
      <c r="B2" s="9" t="inlineStr">
        <is>
          <t>SPOTIFY BI DASHBOARD: PHÂN TÍCH NGHỊCH LÝ DOANH THU QUẢNG CÁO</t>
        </is>
      </c>
    </row>
    <row r="3">
      <c r="B3" s="10" t="inlineStr">
        <is>
          <t>Báo cáo chuyên sâu: Đánh giá sự sụt giảm doanh thu quảng cáo T10 so với T9</t>
        </is>
      </c>
    </row>
    <row r="4"/>
    <row r="5">
      <c r="B5" s="11" t="inlineStr">
        <is>
          <t>USER MIỄN PHÍ</t>
        </is>
      </c>
      <c r="D5" s="11" t="inlineStr">
        <is>
          <t>DOANH THU QUẢNG CÁO</t>
        </is>
      </c>
      <c r="F5" s="11" t="inlineStr">
        <is>
          <t>GIỜ NGHE TB/USER</t>
        </is>
      </c>
      <c r="H5" s="11" t="inlineStr">
        <is>
          <t>TỶ LỆ BỎ QUA QC</t>
        </is>
      </c>
    </row>
    <row r="6">
      <c r="B6" s="12" t="inlineStr">
        <is>
          <t>11.0M (+10%)</t>
        </is>
      </c>
      <c r="D6" s="13" t="inlineStr">
        <is>
          <t>.0M (-40%)</t>
        </is>
      </c>
      <c r="F6" s="14" t="inlineStr">
        <is>
          <t>30 giờ (-33.3%)</t>
        </is>
      </c>
      <c r="H6" s="13" t="inlineStr">
        <is>
          <t>95.0% (+15%)</t>
        </is>
      </c>
    </row>
    <row r="7"/>
    <row r="8"/>
    <row r="9">
      <c r="B9" s="15" t="inlineStr">
        <is>
          <t>Chỉ Số Hiệu Suất (KPIs)</t>
        </is>
      </c>
      <c r="C9" s="15" t="inlineStr">
        <is>
          <t>Tháng 9</t>
        </is>
      </c>
      <c r="D9" s="15" t="inlineStr">
        <is>
          <t>Tháng 10</t>
        </is>
      </c>
      <c r="E9" s="15" t="inlineStr">
        <is>
          <t>Biến Động (%)</t>
        </is>
      </c>
      <c r="F9" s="15" t="inlineStr">
        <is>
          <t>Đánh Giá Nghiệp Vụ</t>
        </is>
      </c>
    </row>
    <row r="10">
      <c r="B10" s="16" t="inlineStr">
        <is>
          <t>Số người dùng miễn phí (Free Users)</t>
        </is>
      </c>
      <c r="C10" s="3" t="n">
        <v>10</v>
      </c>
      <c r="D10" s="3" t="n">
        <v>11</v>
      </c>
      <c r="E10" s="8" t="n">
        <v>0.1</v>
      </c>
      <c r="F10" s="16" t="inlineStr">
        <is>
          <t>Tăng trưởng quy mô</t>
        </is>
      </c>
    </row>
    <row r="11">
      <c r="B11" s="16" t="inlineStr">
        <is>
          <t>Giờ nghe trung bình / User</t>
        </is>
      </c>
      <c r="C11" s="3" t="n">
        <v>45</v>
      </c>
      <c r="D11" s="3" t="n">
        <v>30</v>
      </c>
      <c r="E11" s="8" t="n">
        <v>-0.3333</v>
      </c>
      <c r="F11" s="16" t="inlineStr">
        <is>
          <t>Người dùng nghe ít đi rõ rệt</t>
        </is>
      </c>
    </row>
    <row r="12">
      <c r="B12" s="16" t="inlineStr">
        <is>
          <t>Tổng thời lượng nghe (Triệu giờ)</t>
        </is>
      </c>
      <c r="C12" s="3" t="n">
        <v>450</v>
      </c>
      <c r="D12" s="3" t="n">
        <v>330</v>
      </c>
      <c r="E12" s="8" t="n">
        <v>-0.2667</v>
      </c>
      <c r="F12" s="16" t="inlineStr">
        <is>
          <t>Dung lượng hiển thị quảng cáo co lại</t>
        </is>
      </c>
    </row>
    <row r="13">
      <c r="B13" s="16" t="inlineStr">
        <is>
          <t>Tỷ lệ bỏ qua quảng cáo (Skip Rate)</t>
        </is>
      </c>
      <c r="C13" s="4" t="n">
        <v>0.8</v>
      </c>
      <c r="D13" s="4" t="n">
        <v>0.95</v>
      </c>
      <c r="E13" s="8" t="n">
        <v>0.1875</v>
      </c>
      <c r="F13" s="16" t="inlineStr">
        <is>
          <t>Người dùng từ chối xem quảng cáo</t>
        </is>
      </c>
    </row>
    <row r="14">
      <c r="B14" s="16" t="inlineStr">
        <is>
          <t>Tỷ lệ nghe hết quảng cáo (1 - Skip)</t>
        </is>
      </c>
      <c r="C14" s="4" t="n">
        <v>0.2</v>
      </c>
      <c r="D14" s="4" t="n">
        <v>0.05</v>
      </c>
      <c r="E14" s="8" t="n">
        <v>-0.75</v>
      </c>
      <c r="F14" s="16" t="inlineStr">
        <is>
          <t>Quảng cáo thành công giảm tới 75%</t>
        </is>
      </c>
    </row>
    <row r="15">
      <c r="B15" s="16" t="inlineStr">
        <is>
          <t>Doanh thu quảng cáo (Triệu USD)</t>
        </is>
      </c>
      <c r="C15" s="5" t="n">
        <v>5</v>
      </c>
      <c r="D15" s="5" t="n">
        <v>3</v>
      </c>
      <c r="E15" s="8" t="n">
        <v>-0.4</v>
      </c>
      <c r="F15" s="16" t="inlineStr">
        <is>
          <t>Doanh thu sụt giảm nghiêm trọng</t>
        </is>
      </c>
    </row>
    <row r="16">
      <c r="B16" s="16" t="inlineStr">
        <is>
          <t>Doanh thu trên mỗi giờ nghe ($/h)</t>
        </is>
      </c>
      <c r="C16" s="6" t="n">
        <v>0.0111</v>
      </c>
      <c r="D16" s="6" t="n">
        <v>0.0091</v>
      </c>
      <c r="E16" s="8" t="n">
        <v>-0.1818</v>
      </c>
      <c r="F16" s="16" t="inlineStr">
        <is>
          <t>Hiệu suất khai thác doanh thu giảm</t>
        </is>
      </c>
    </row>
    <row r="17">
      <c r="B17" s="16" t="inlineStr">
        <is>
          <t>Doanh thu trung bình/User (ARPU)</t>
        </is>
      </c>
      <c r="C17" s="3" t="n">
        <v>0.5</v>
      </c>
      <c r="D17" s="3" t="n">
        <v>0.2727</v>
      </c>
      <c r="E17" s="8" t="n">
        <v>-0.4545</v>
      </c>
      <c r="F17" s="16" t="inlineStr">
        <is>
          <t>Giá trị trung bình mỗi user giảm mạnh</t>
        </is>
      </c>
    </row>
    <row r="18"/>
    <row r="19">
      <c r="B19" s="17" t="inlineStr">
        <is>
          <t>Tháng</t>
        </is>
      </c>
      <c r="C19" s="17" t="inlineStr">
        <is>
          <t>User Free (Triệu)</t>
        </is>
      </c>
      <c r="D19" s="17" t="inlineStr">
        <is>
          <t>Doanh Thu QC (Triệu $)</t>
        </is>
      </c>
      <c r="G19" s="17" t="inlineStr">
        <is>
          <t>Tháng</t>
        </is>
      </c>
      <c r="H19" s="17" t="inlineStr">
        <is>
          <t>Giờ Nghe TB/User</t>
        </is>
      </c>
      <c r="I19" s="17" t="inlineStr">
        <is>
          <t>Tỷ Lệ Bỏ Qua QC (%)</t>
        </is>
      </c>
    </row>
    <row r="20">
      <c r="B20" t="inlineStr">
        <is>
          <t>Tháng 9</t>
        </is>
      </c>
      <c r="C20" t="n">
        <v>10</v>
      </c>
      <c r="D20" t="n">
        <v>5</v>
      </c>
      <c r="G20" t="inlineStr">
        <is>
          <t>Tháng 9</t>
        </is>
      </c>
      <c r="H20" t="n">
        <v>45</v>
      </c>
      <c r="I20" t="n">
        <v>0.8</v>
      </c>
    </row>
    <row r="21">
      <c r="B21" t="inlineStr">
        <is>
          <t>Tháng 10</t>
        </is>
      </c>
      <c r="C21" t="n">
        <v>11</v>
      </c>
      <c r="D21" t="n">
        <v>3</v>
      </c>
      <c r="G21" t="inlineStr">
        <is>
          <t>Tháng 10</t>
        </is>
      </c>
      <c r="H21" t="n">
        <v>30</v>
      </c>
      <c r="I21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2026-09-30T01:04:44Z</dcterms:created>
  <dcterms:modified xmlns:dcterms="http://purl.org/dc/terms/" xmlns:xsi="http://www.w3.org/2001/XMLSchema-instance" xsi:type="dcterms:W3CDTF">2026-09-30T01:04:45Z</dcterms:modified>
</cp:coreProperties>
</file>