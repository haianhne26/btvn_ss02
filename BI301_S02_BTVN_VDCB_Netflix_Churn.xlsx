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Va_Tinh_Toan" sheetId="1" state="visible" r:id="rId1"/>
    <sheet xmlns:r="http://schemas.openxmlformats.org/officeDocument/2006/relationships" name="Phan_Loai_Chi_So" sheetId="2" state="visible" r:id="rId2"/>
    <sheet xmlns:r="http://schemas.openxmlformats.org/officeDocument/2006/relationships" name="KPI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"/>
    <numFmt numFmtId="165" formatCode="+0.00% pts;-0.00% pts"/>
    <numFmt numFmtId="166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000000"/>
      <sz val="11"/>
    </font>
    <font>
      <name val="Segoe UI"/>
      <color rgb="00000000"/>
      <sz val="11"/>
    </font>
    <font>
      <name val="Segoe UI"/>
      <b val="1"/>
      <color rgb="00000000"/>
      <sz val="14"/>
    </font>
    <font>
      <name val="Segoe UI"/>
      <i val="1"/>
      <color rgb="00595959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right" vertical="center"/>
    </xf>
    <xf numFmtId="165" fontId="1" fillId="0" borderId="2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 Sánh Biến Động: Churn Rate Tăng &amp; CSAT Giảm Giữa T7 và T8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'KPI_Dashboard'!$B$14:$B$15</f>
            </numRef>
          </cat>
          <val>
            <numRef>
              <f>'KPI_Dashboard'!$C$14:$C$15</f>
            </numRef>
          </val>
        </ser>
        <ser>
          <idx val="1"/>
          <order val="1"/>
          <tx>
            <strRef>
              <f>'KPI_Dashboard'!D13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'KPI_Dashboard'!$B$14:$B$15</f>
            </numRef>
          </cat>
          <val>
            <numRef>
              <f>'KPI_Dashboard'!$D$14:$D$15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Chỉ số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9" customWidth="1" min="5" max="5"/>
    <col width="25" customWidth="1" min="6" max="6"/>
    <col width="29" customWidth="1" min="7" max="7"/>
    <col width="14" customWidth="1" min="8" max="8"/>
    <col width="19" customWidth="1" min="9" max="9"/>
    <col width="30" customWidth="1" min="10" max="10"/>
  </cols>
  <sheetData>
    <row r="1">
      <c r="A1" s="1" t="inlineStr">
        <is>
          <t>Gói</t>
        </is>
      </c>
      <c r="B1" s="1" t="inlineStr">
        <is>
          <t>Khu Vực</t>
        </is>
      </c>
      <c r="C1" s="1" t="inlineStr">
        <is>
          <t>Tháng</t>
        </is>
      </c>
      <c r="D1" s="1" t="inlineStr">
        <is>
          <t>User Active</t>
        </is>
      </c>
      <c r="E1" s="1" t="inlineStr">
        <is>
          <t>User Hủy (Churn)</t>
        </is>
      </c>
      <c r="F1" s="1" t="inlineStr">
        <is>
          <t>Tỷ Lệ Hủy (Churn Rate)</t>
        </is>
      </c>
      <c r="G1" s="1" t="inlineStr">
        <is>
          <t>Tỷ Lệ Giữ Chân (Retention)</t>
        </is>
      </c>
      <c r="H1" s="1" t="inlineStr">
        <is>
          <t>CSAT (Điểm)</t>
        </is>
      </c>
      <c r="I1" s="1" t="inlineStr">
        <is>
          <t>Giờ Xem TB (Giờ)</t>
        </is>
      </c>
      <c r="J1" s="1" t="inlineStr">
        <is>
          <t>Tổng Giờ Xem Ước Tính (Giờ)</t>
        </is>
      </c>
    </row>
    <row r="2">
      <c r="A2" s="2" t="inlineStr">
        <is>
          <t>Basic</t>
        </is>
      </c>
      <c r="B2" s="2" t="inlineStr">
        <is>
          <t>Châu Á</t>
        </is>
      </c>
      <c r="C2" s="2" t="inlineStr">
        <is>
          <t>T7</t>
        </is>
      </c>
      <c r="D2" s="3" t="n">
        <v>5000000</v>
      </c>
      <c r="E2" s="3" t="n">
        <v>200000</v>
      </c>
      <c r="F2" s="4">
        <f>E2/D2</f>
        <v/>
      </c>
      <c r="G2" s="4">
        <f>1-F2</f>
        <v/>
      </c>
      <c r="H2" s="5" t="n">
        <v>4.2</v>
      </c>
      <c r="I2" s="3" t="n">
        <v>120</v>
      </c>
      <c r="J2" s="3">
        <f>D2*I2</f>
        <v/>
      </c>
    </row>
    <row r="3">
      <c r="A3" s="2" t="inlineStr">
        <is>
          <t>Basic</t>
        </is>
      </c>
      <c r="B3" s="2" t="inlineStr">
        <is>
          <t>Châu Á</t>
        </is>
      </c>
      <c r="C3" s="2" t="inlineStr">
        <is>
          <t>T8</t>
        </is>
      </c>
      <c r="D3" s="3" t="n">
        <v>4950000</v>
      </c>
      <c r="E3" s="3" t="n">
        <v>250000</v>
      </c>
      <c r="F3" s="4">
        <f>E3/D3</f>
        <v/>
      </c>
      <c r="G3" s="4">
        <f>1-F3</f>
        <v/>
      </c>
      <c r="H3" s="5" t="n">
        <v>3.8</v>
      </c>
      <c r="I3" s="3" t="n">
        <v>110</v>
      </c>
      <c r="J3" s="3">
        <f>D3*I3</f>
        <v/>
      </c>
    </row>
    <row r="4">
      <c r="A4" s="6" t="inlineStr">
        <is>
          <t>Biến Động</t>
        </is>
      </c>
      <c r="B4" s="6" t="inlineStr"/>
      <c r="C4" s="6" t="inlineStr">
        <is>
          <t>T8 so với T7</t>
        </is>
      </c>
      <c r="D4" s="7">
        <f>(D3-D2)/D2</f>
        <v/>
      </c>
      <c r="E4" s="7">
        <f>(E3-E2)/E2</f>
        <v/>
      </c>
      <c r="F4" s="8">
        <f>F3-F2</f>
        <v/>
      </c>
      <c r="G4" s="8">
        <f>G3-G2</f>
        <v/>
      </c>
      <c r="H4" s="7">
        <f>(H3-H2)/H2</f>
        <v/>
      </c>
      <c r="I4" s="7">
        <f>(I3-I2)/I2</f>
        <v/>
      </c>
      <c r="J4" s="7">
        <f>(J3-J2)/J2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71" customWidth="1" min="3" max="3"/>
    <col width="55" customWidth="1" min="4" max="4"/>
    <col width="20" customWidth="1" min="5" max="5"/>
    <col width="67" customWidth="1" min="6" max="6"/>
  </cols>
  <sheetData>
    <row r="1">
      <c r="A1" s="1" t="inlineStr">
        <is>
          <t>Tên Chỉ Số</t>
        </is>
      </c>
      <c r="B1" s="1" t="inlineStr">
        <is>
          <t>Phân Loại</t>
        </is>
      </c>
      <c r="C1" s="1" t="inlineStr">
        <is>
          <t>Bản Chất Dữ Liệu</t>
        </is>
      </c>
      <c r="D1" s="1" t="inlineStr">
        <is>
          <t>Công Thức / Cách Thu Thập</t>
        </is>
      </c>
      <c r="E1" s="1" t="inlineStr">
        <is>
          <t>Đơn Vị Tính</t>
        </is>
      </c>
      <c r="F1" s="1" t="inlineStr">
        <is>
          <t>Ý Nghĩa Quản Trị Chiến Lược</t>
        </is>
      </c>
    </row>
    <row r="2">
      <c r="A2" s="9" t="inlineStr">
        <is>
          <t>User Active</t>
        </is>
      </c>
      <c r="B2" s="10" t="inlineStr">
        <is>
          <t>Measure (Thước đo thô)</t>
        </is>
      </c>
      <c r="C2" s="11" t="inlineStr">
        <is>
          <t>Số đếm định lượng trực tiếp từ hệ thống ghi nhận tài khoản có tương tác.</t>
        </is>
      </c>
      <c r="D2" s="11" t="inlineStr">
        <is>
          <t>Tổng số tài khoản gói Basic có phát sinh phiên đăng nhập/xem phim trong tháng.</t>
        </is>
      </c>
      <c r="E2" s="2" t="inlineStr">
        <is>
          <t>Tài khoản (Users)</t>
        </is>
      </c>
      <c r="F2" s="11" t="inlineStr">
        <is>
          <t>Đo lường quy mô tệp khách hàng đang tạo ra dòng tiền định kỳ.</t>
        </is>
      </c>
    </row>
    <row r="3">
      <c r="A3" s="9" t="inlineStr">
        <is>
          <t>User Hủy (Churn)</t>
        </is>
      </c>
      <c r="B3" s="10" t="inlineStr">
        <is>
          <t>Measure (Thước đo thô)</t>
        </is>
      </c>
      <c r="C3" s="11" t="inlineStr">
        <is>
          <t>Số đếm định lượng trực tiếp các lượt chấm dứt hợp đồng thuê bao.</t>
        </is>
      </c>
      <c r="D3" s="11" t="inlineStr">
        <is>
          <t>Tổng số tài khoản nhấn xác nhận hủy gói hoặc không gia hạn thành công.</t>
        </is>
      </c>
      <c r="E3" s="2" t="inlineStr">
        <is>
          <t>Tài khoản (Users)</t>
        </is>
      </c>
      <c r="F3" s="11" t="inlineStr">
        <is>
          <t>Đo lường độ rò rỉ khách hàng (customer leakage) tuyệt đối.</t>
        </is>
      </c>
    </row>
    <row r="4">
      <c r="A4" s="9" t="inlineStr">
        <is>
          <t>Churn Rate (Tỷ lệ hủy)</t>
        </is>
      </c>
      <c r="B4" s="10" t="inlineStr">
        <is>
          <t>Metric (Chỉ số đo lường)</t>
        </is>
      </c>
      <c r="C4" s="11" t="inlineStr">
        <is>
          <t>Chỉ số tương đối tính từ 2 Measures (User Hủy / User Active).</t>
        </is>
      </c>
      <c r="D4" s="11">
        <f> User Hủy / User Active * 100%</f>
        <v/>
      </c>
      <c r="E4" s="2" t="inlineStr">
        <is>
          <t>Phần trăm (%)</t>
        </is>
      </c>
      <c r="F4" s="11" t="inlineStr">
        <is>
          <t>Chỉ báo trễ (Lagging) đo lường sức khỏe giữ chân khách hàng (Retention).</t>
        </is>
      </c>
    </row>
    <row r="5">
      <c r="A5" s="9" t="inlineStr">
        <is>
          <t>CSAT (Điểm hài lòng)</t>
        </is>
      </c>
      <c r="B5" s="10" t="inlineStr">
        <is>
          <t>Metric (Chỉ số đo lường)</t>
        </is>
      </c>
      <c r="C5" s="11" t="inlineStr">
        <is>
          <t>Chỉ số trung bình chuẩn hóa phản ánh mức độ hài lòng của người dùng.</t>
        </is>
      </c>
      <c r="D5" s="11" t="inlineStr">
        <is>
          <t>Tổng điểm đánh giá khảo sát / Tổng số lượt phản hồi.</t>
        </is>
      </c>
      <c r="E5" s="2" t="inlineStr">
        <is>
          <t>Điểm (Thang 1-5)</t>
        </is>
      </c>
      <c r="F5" s="11" t="inlineStr">
        <is>
          <t>Chỉ báo sớm (Leading) dự báo xu hướng gắn bó hoặc ý định rời bỏ.</t>
        </is>
      </c>
    </row>
    <row r="6">
      <c r="A6" s="9" t="inlineStr">
        <is>
          <t>Giờ Xem TB (Watch Time)</t>
        </is>
      </c>
      <c r="B6" s="10" t="inlineStr">
        <is>
          <t>Metric (Chỉ số đo lường)</t>
        </is>
      </c>
      <c r="C6" s="11" t="inlineStr">
        <is>
          <t>Chỉ số trung bình phản ánh cường độ tương tác (Engagement).</t>
        </is>
      </c>
      <c r="D6" s="11" t="inlineStr">
        <is>
          <t>Tổng số giờ xem toàn hệ thống / Tổng số User Active.</t>
        </is>
      </c>
      <c r="E6" s="2" t="inlineStr">
        <is>
          <t>Giờ/User/Tháng</t>
        </is>
      </c>
      <c r="F6" s="11" t="inlineStr">
        <is>
          <t>Chỉ báo sớm (Leading) đo lường mức độ gắn kết với kho nội dung Netflix.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8" customWidth="1" min="4" max="4"/>
    <col width="13" customWidth="1" min="5" max="5"/>
    <col width="38" customWidth="1" min="6" max="6"/>
  </cols>
  <sheetData>
    <row r="1"/>
    <row r="2">
      <c r="B2" s="12" t="inlineStr">
        <is>
          <t>NETFLIX ASIA BASIC PLAN - EXECUTIVE KPI DASHBOARD</t>
        </is>
      </c>
    </row>
    <row r="3">
      <c r="B3" s="13" t="inlineStr">
        <is>
          <t>Báo cáo phân tích chuyên sâu: Tỷ lệ rời bỏ (Churn Rate) &amp; Mối quan hệ với CSAT, Giờ xem</t>
        </is>
      </c>
    </row>
    <row r="4"/>
    <row r="5">
      <c r="B5" s="14" t="inlineStr">
        <is>
          <t>Chỉ Số Hiệu Suất (KPIs)</t>
        </is>
      </c>
      <c r="C5" s="14" t="inlineStr">
        <is>
          <t>Tháng 7</t>
        </is>
      </c>
      <c r="D5" s="14" t="inlineStr">
        <is>
          <t>Tháng 8</t>
        </is>
      </c>
      <c r="E5" s="14" t="inlineStr">
        <is>
          <t>Biến Động</t>
        </is>
      </c>
      <c r="F5" s="14" t="inlineStr">
        <is>
          <t>Tình Trạng</t>
        </is>
      </c>
    </row>
    <row r="6">
      <c r="B6" s="9" t="inlineStr">
        <is>
          <t>User Active</t>
        </is>
      </c>
      <c r="C6" s="3" t="n">
        <v>5000000</v>
      </c>
      <c r="D6" s="3" t="n">
        <v>4950000</v>
      </c>
      <c r="E6" s="15" t="n">
        <v>-0.01</v>
      </c>
      <c r="F6" s="9" t="inlineStr">
        <is>
          <t>Giảm -50,000 user (-1.0%)</t>
        </is>
      </c>
    </row>
    <row r="7">
      <c r="B7" s="9" t="inlineStr">
        <is>
          <t>User Hủy (Churn)</t>
        </is>
      </c>
      <c r="C7" s="3" t="n">
        <v>200000</v>
      </c>
      <c r="D7" s="3" t="n">
        <v>250000</v>
      </c>
      <c r="E7" s="15" t="n">
        <v>0.25</v>
      </c>
      <c r="F7" s="9" t="inlineStr">
        <is>
          <t>Tăng đột biến +50,000 user (+25.0%)</t>
        </is>
      </c>
    </row>
    <row r="8">
      <c r="B8" s="9" t="inlineStr">
        <is>
          <t>Tỷ lệ hủy (Churn Rate)</t>
        </is>
      </c>
      <c r="C8" s="4" t="n">
        <v>0.04</v>
      </c>
      <c r="D8" s="4" t="n">
        <v>0.0505</v>
      </c>
      <c r="E8" s="16" t="n">
        <v>0.0105</v>
      </c>
      <c r="F8" s="9" t="inlineStr">
        <is>
          <t>Báo động đỏ (Tăng +1.05% pts)</t>
        </is>
      </c>
    </row>
    <row r="9">
      <c r="B9" s="9" t="inlineStr">
        <is>
          <t>Tỷ lệ giữ chân (Retention Rate)</t>
        </is>
      </c>
      <c r="C9" s="4" t="n">
        <v>0.96</v>
      </c>
      <c r="D9" s="4" t="n">
        <v>0.9495</v>
      </c>
      <c r="E9" s="16" t="n">
        <v>-0.0105</v>
      </c>
      <c r="F9" s="9" t="inlineStr">
        <is>
          <t>Suy giảm -1.05% pts</t>
        </is>
      </c>
    </row>
    <row r="10">
      <c r="B10" s="9" t="inlineStr">
        <is>
          <t>Điểm CSAT</t>
        </is>
      </c>
      <c r="C10" s="5" t="n">
        <v>4.2</v>
      </c>
      <c r="D10" s="5" t="n">
        <v>3.8</v>
      </c>
      <c r="E10" s="15" t="n">
        <v>-0.09520000000000001</v>
      </c>
      <c r="F10" s="9" t="inlineStr">
        <is>
          <t>Giảm sút nghiêm trọng (-0.4 điểm)</t>
        </is>
      </c>
    </row>
    <row r="11">
      <c r="B11" s="9" t="inlineStr">
        <is>
          <t>Giờ xem trung bình / user</t>
        </is>
      </c>
      <c r="C11" s="3" t="n">
        <v>120</v>
      </c>
      <c r="D11" s="3" t="n">
        <v>110</v>
      </c>
      <c r="E11" s="15" t="n">
        <v>-0.0833</v>
      </c>
      <c r="F11" s="9" t="inlineStr">
        <is>
          <t>Tương tác giảm (-10 giờ/user)</t>
        </is>
      </c>
    </row>
    <row r="12"/>
    <row r="13">
      <c r="B13" s="17" t="inlineStr">
        <is>
          <t>Tháng</t>
        </is>
      </c>
      <c r="C13" s="17" t="inlineStr">
        <is>
          <t>Tỷ Lệ Hủy (%)</t>
        </is>
      </c>
      <c r="D13" s="17" t="inlineStr">
        <is>
          <t>Điểm CSAT (x10)</t>
        </is>
      </c>
    </row>
    <row r="14">
      <c r="B14" t="inlineStr">
        <is>
          <t>Tháng 7</t>
        </is>
      </c>
      <c r="C14" t="n">
        <v>4</v>
      </c>
      <c r="D14" t="n">
        <v>42</v>
      </c>
    </row>
    <row r="15">
      <c r="B15" t="inlineStr">
        <is>
          <t>Tháng 8</t>
        </is>
      </c>
      <c r="C15" t="n">
        <v>5.05</v>
      </c>
      <c r="D15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2026-09-30T15:31:12Z</dcterms:created>
  <dcterms:modified xmlns:dcterms="http://purl.org/dc/terms/" xmlns:xsi="http://www.w3.org/2001/XMLSchema-instance" xsi:type="dcterms:W3CDTF">2026-09-30T15:31:13Z</dcterms:modified>
</cp:coreProperties>
</file>